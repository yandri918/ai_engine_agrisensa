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Settings" sheetId="2" r:id="rId2"/>
    <sheet name="Database" sheetId="3" r:id="rId3"/>
  </sheets>
  <calcPr calcId="124519" fullCalcOnLoad="1"/>
</workbook>
</file>

<file path=xl/sharedStrings.xml><?xml version="1.0" encoding="utf-8"?>
<sst xmlns="http://schemas.openxmlformats.org/spreadsheetml/2006/main" count="48" uniqueCount="46">
  <si>
    <t>🌾 AGRISENSA FOOD CROP MASTER CALCULATOR v2.0</t>
  </si>
  <si>
    <t>Edisi Master: Kalkulator Lahan, pH, &amp; Database Harga Terpusat</t>
  </si>
  <si>
    <t>1. KONFIGURASI LAHAN &amp; TANAMAN</t>
  </si>
  <si>
    <t>Pilih Tanaman Pangan:</t>
  </si>
  <si>
    <t>Padi Sawah</t>
  </si>
  <si>
    <t>Total Luas Lahan (m2):</t>
  </si>
  <si>
    <t>2. REKOMENDASI PUPUK (TOTAL KEBUTUHAN)</t>
  </si>
  <si>
    <t>Bahan Pupuk</t>
  </si>
  <si>
    <t>Total (Kg)</t>
  </si>
  <si>
    <t>Jumlah Karung (50kg)</t>
  </si>
  <si>
    <t>Urea</t>
  </si>
  <si>
    <t>NPK Phonska</t>
  </si>
  <si>
    <t>SP-36</t>
  </si>
  <si>
    <t>KCl</t>
  </si>
  <si>
    <t>3. KALKULATOR pH TANAH (PEMBENAH)</t>
  </si>
  <si>
    <t>pH Tanah Saat Ini:</t>
  </si>
  <si>
    <t>Target pH Tanah:</t>
  </si>
  <si>
    <t>Rekomendasi Kapur (Dolomit):</t>
  </si>
  <si>
    <t>Kg</t>
  </si>
  <si>
    <t>4. ANALISIS TENAGA KERJA (HOK)</t>
  </si>
  <si>
    <t>Upah Harian (HOK):</t>
  </si>
  <si>
    <t>Estimasi Total Pekerja (Orang):</t>
  </si>
  <si>
    <t>Total Biaya Tenaga Kerja:</t>
  </si>
  <si>
    <t>5. TOTAL ESTIMASI BIAYA PRODUKSI</t>
  </si>
  <si>
    <t>Urea:</t>
  </si>
  <si>
    <t>NPK Phonska:</t>
  </si>
  <si>
    <t>SP-36:</t>
  </si>
  <si>
    <t>KCl:</t>
  </si>
  <si>
    <t>Dolomit:</t>
  </si>
  <si>
    <t>TOTAL MODUL (PUPUK + PEKERJA):</t>
  </si>
  <si>
    <t>⚙️ DATABASE HARGA (EDITABLE)</t>
  </si>
  <si>
    <t>Harga Urea (per Kg):</t>
  </si>
  <si>
    <t>Harga NPK Phonska (per Kg):</t>
  </si>
  <si>
    <t>Harga SP-36 (per Kg):</t>
  </si>
  <si>
    <t>Harga KCl (per Kg):</t>
  </si>
  <si>
    <t>Harga Dolomit (per Kg):</t>
  </si>
  <si>
    <t>Catatan: Ubah angka di atas sesuai harga pasar daerah Anda.</t>
  </si>
  <si>
    <t>Tanaman</t>
  </si>
  <si>
    <t>Urea_ha</t>
  </si>
  <si>
    <t>NPK_ha</t>
  </si>
  <si>
    <t>SP36_ha</t>
  </si>
  <si>
    <t>KCl_ha</t>
  </si>
  <si>
    <t>Jagung Hibrida</t>
  </si>
  <si>
    <t>Kedelai</t>
  </si>
  <si>
    <t>Singkong</t>
  </si>
  <si>
    <t>Kacang Tanah</t>
  </si>
</sst>
</file>

<file path=xl/styles.xml><?xml version="1.0" encoding="utf-8"?>
<styleSheet xmlns="http://schemas.openxmlformats.org/spreadsheetml/2006/main">
  <numFmts count="4">
    <numFmt numFmtId="164" formatCode="0.00 &quot; Hektar&quot;"/>
    <numFmt numFmtId="165" formatCode="#,##0"/>
    <numFmt numFmtId="166" formatCode="#,##0.0"/>
    <numFmt numFmtId="167" formatCode="&quot;Rp &quot;#,##0"/>
  </numFmts>
  <fonts count="8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A3412"/>
      <name val="Calibri"/>
      <family val="2"/>
      <scheme val="minor"/>
    </font>
    <font>
      <b/>
      <sz val="11"/>
      <color rgb="FF064E3B"/>
      <name val="Calibri"/>
      <family val="2"/>
      <scheme val="minor"/>
    </font>
    <font>
      <b/>
      <sz val="11"/>
      <color rgb="FF075985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66534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F0F9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4" fillId="5" borderId="2" xfId="0" applyFont="1" applyFill="1" applyBorder="1"/>
    <xf numFmtId="164" fontId="0" fillId="0" borderId="0" xfId="0" applyNumberFormat="1"/>
    <xf numFmtId="165" fontId="5" fillId="6" borderId="2" xfId="0" applyNumberFormat="1" applyFont="1" applyFill="1" applyBorder="1"/>
    <xf numFmtId="166" fontId="6" fillId="7" borderId="2" xfId="0" applyNumberFormat="1" applyFont="1" applyFill="1" applyBorder="1"/>
    <xf numFmtId="167" fontId="5" fillId="6" borderId="2" xfId="0" applyNumberFormat="1" applyFont="1" applyFill="1" applyBorder="1"/>
    <xf numFmtId="167" fontId="4" fillId="5" borderId="1" xfId="0" applyNumberFormat="1" applyFont="1" applyFill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E33"/>
  <sheetViews>
    <sheetView tabSelected="1" workbookViewId="0"/>
  </sheetViews>
  <sheetFormatPr defaultRowHeight="15"/>
  <cols>
    <col min="1" max="1" width="5.7109375" customWidth="1"/>
    <col min="2" max="3" width="35.7109375" customWidth="1"/>
    <col min="4" max="4" width="25.7109375" customWidth="1"/>
  </cols>
  <sheetData>
    <row r="2" spans="2:5">
      <c r="B2" s="1" t="s">
        <v>0</v>
      </c>
      <c r="C2" s="1"/>
      <c r="D2" s="1"/>
      <c r="E2" s="1"/>
    </row>
    <row r="3" spans="2:5">
      <c r="B3" s="2" t="s">
        <v>1</v>
      </c>
    </row>
    <row r="5" spans="2:5">
      <c r="B5" s="3" t="s">
        <v>2</v>
      </c>
      <c r="C5" s="3"/>
      <c r="D5" s="3"/>
    </row>
    <row r="6" spans="2:5">
      <c r="B6" s="4" t="s">
        <v>3</v>
      </c>
      <c r="C6" s="5" t="s">
        <v>4</v>
      </c>
    </row>
    <row r="7" spans="2:5">
      <c r="B7" s="4" t="s">
        <v>5</v>
      </c>
      <c r="C7" s="5">
        <v>10000</v>
      </c>
      <c r="D7" s="6">
        <f>C7/10000</f>
        <v>0</v>
      </c>
    </row>
    <row r="9" spans="2:5">
      <c r="B9" s="3" t="s">
        <v>6</v>
      </c>
      <c r="C9" s="3"/>
      <c r="D9" s="3"/>
    </row>
    <row r="10" spans="2:5">
      <c r="B10" s="4" t="s">
        <v>7</v>
      </c>
      <c r="C10" s="4" t="s">
        <v>8</v>
      </c>
      <c r="D10" s="4" t="s">
        <v>9</v>
      </c>
    </row>
    <row r="11" spans="2:5">
      <c r="B11" s="4" t="s">
        <v>10</v>
      </c>
      <c r="C11" s="7">
        <f>VLOOKUP(C6, Database!A2:E20, 2, 0) * D7</f>
        <v>0</v>
      </c>
      <c r="D11" s="8">
        <f>C11/50</f>
        <v>0</v>
      </c>
    </row>
    <row r="12" spans="2:5">
      <c r="B12" s="4" t="s">
        <v>11</v>
      </c>
      <c r="C12" s="7">
        <f>VLOOKUP(C6, Database!A2:E20, 3, 0) * D7</f>
        <v>0</v>
      </c>
      <c r="D12" s="8">
        <f>C12/50</f>
        <v>0</v>
      </c>
    </row>
    <row r="13" spans="2:5">
      <c r="B13" s="4" t="s">
        <v>12</v>
      </c>
      <c r="C13" s="7">
        <f>VLOOKUP(C6, Database!A2:E20, 4, 0) * D7</f>
        <v>0</v>
      </c>
      <c r="D13" s="8">
        <f>C13/50</f>
        <v>0</v>
      </c>
    </row>
    <row r="14" spans="2:5">
      <c r="B14" s="4" t="s">
        <v>13</v>
      </c>
      <c r="C14" s="7">
        <f>VLOOKUP(C6, Database!A2:E20, 5, 0) * D7</f>
        <v>0</v>
      </c>
      <c r="D14" s="8">
        <f>C14/50</f>
        <v>0</v>
      </c>
    </row>
    <row r="16" spans="2:5">
      <c r="B16" s="3" t="s">
        <v>14</v>
      </c>
      <c r="C16" s="3"/>
      <c r="D16" s="3"/>
    </row>
    <row r="17" spans="2:4">
      <c r="B17" s="4" t="s">
        <v>15</v>
      </c>
      <c r="C17" s="5">
        <v>5</v>
      </c>
    </row>
    <row r="18" spans="2:4">
      <c r="B18" s="4" t="s">
        <v>16</v>
      </c>
      <c r="C18" s="4">
        <v>6.5</v>
      </c>
    </row>
    <row r="19" spans="2:4">
      <c r="B19" s="4" t="s">
        <v>17</v>
      </c>
      <c r="C19" s="7">
        <f>IF(C17&lt;C18, (C18-C17) * 1.5 * D7 * 1000, 0)</f>
        <v>0</v>
      </c>
      <c r="D19" t="s">
        <v>18</v>
      </c>
    </row>
    <row r="21" spans="2:4">
      <c r="B21" s="3" t="s">
        <v>19</v>
      </c>
      <c r="C21" s="3"/>
      <c r="D21" s="3"/>
    </row>
    <row r="22" spans="2:4">
      <c r="B22" s="4" t="s">
        <v>20</v>
      </c>
      <c r="C22" s="9">
        <f>Settings!C8</f>
        <v>0</v>
      </c>
    </row>
    <row r="23" spans="2:4">
      <c r="B23" s="4" t="s">
        <v>21</v>
      </c>
      <c r="C23" s="7">
        <f>D7 * 120</f>
        <v>0</v>
      </c>
    </row>
    <row r="24" spans="2:4">
      <c r="B24" s="4" t="s">
        <v>22</v>
      </c>
      <c r="C24" s="9">
        <f>C22 * C23</f>
        <v>0</v>
      </c>
    </row>
    <row r="26" spans="2:4">
      <c r="B26" s="3" t="s">
        <v>23</v>
      </c>
      <c r="C26" s="3"/>
      <c r="D26" s="3"/>
    </row>
    <row r="27" spans="2:4">
      <c r="B27" s="4" t="s">
        <v>24</v>
      </c>
      <c r="C27" s="9">
        <f>C11 * Settings!C3</f>
        <v>0</v>
      </c>
    </row>
    <row r="28" spans="2:4">
      <c r="B28" s="4" t="s">
        <v>25</v>
      </c>
      <c r="C28" s="9">
        <f>C12 * Settings!C4</f>
        <v>0</v>
      </c>
    </row>
    <row r="29" spans="2:4">
      <c r="B29" s="4" t="s">
        <v>26</v>
      </c>
      <c r="C29" s="9">
        <f>C13 * Settings!C5</f>
        <v>0</v>
      </c>
    </row>
    <row r="30" spans="2:4">
      <c r="B30" s="4" t="s">
        <v>27</v>
      </c>
      <c r="C30" s="9">
        <f>C14 * Settings!C6</f>
        <v>0</v>
      </c>
    </row>
    <row r="31" spans="2:4">
      <c r="B31" s="4" t="s">
        <v>28</v>
      </c>
      <c r="C31" s="9">
        <f>C19 * Settings!C7</f>
        <v>0</v>
      </c>
    </row>
    <row r="33" spans="2:3">
      <c r="B33" s="3" t="s">
        <v>29</v>
      </c>
      <c r="C33" s="1">
        <f>SUM(C27:C31) + C24</f>
        <v>0</v>
      </c>
    </row>
  </sheetData>
  <mergeCells count="6">
    <mergeCell ref="B2:E2"/>
    <mergeCell ref="B5:D5"/>
    <mergeCell ref="B9:D9"/>
    <mergeCell ref="B16:D16"/>
    <mergeCell ref="B21:D21"/>
    <mergeCell ref="B26:D26"/>
  </mergeCells>
  <dataValidations count="1">
    <dataValidation type="list" allowBlank="1" showInputMessage="1" showErrorMessage="1" sqref="C6">
      <formula1>"Padi Sawah,Jagung Hibrida,Kedelai,Singkong,Kacang Tanah"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C10"/>
  <sheetViews>
    <sheetView workbookViewId="0"/>
  </sheetViews>
  <sheetFormatPr defaultRowHeight="15"/>
  <cols>
    <col min="2" max="2" width="30.7109375" customWidth="1"/>
    <col min="3" max="3" width="20.7109375" customWidth="1"/>
  </cols>
  <sheetData>
    <row r="2" spans="2:3">
      <c r="B2" s="1" t="s">
        <v>30</v>
      </c>
      <c r="C2" s="1"/>
    </row>
    <row r="3" spans="2:3">
      <c r="B3" s="4" t="s">
        <v>31</v>
      </c>
      <c r="C3" s="10">
        <v>6000</v>
      </c>
    </row>
    <row r="4" spans="2:3">
      <c r="B4" s="4" t="s">
        <v>32</v>
      </c>
      <c r="C4" s="10">
        <v>12000</v>
      </c>
    </row>
    <row r="5" spans="2:3">
      <c r="B5" s="4" t="s">
        <v>33</v>
      </c>
      <c r="C5" s="10">
        <v>10000</v>
      </c>
    </row>
    <row r="6" spans="2:3">
      <c r="B6" s="4" t="s">
        <v>34</v>
      </c>
      <c r="C6" s="10">
        <v>15000</v>
      </c>
    </row>
    <row r="7" spans="2:3">
      <c r="B7" s="4" t="s">
        <v>35</v>
      </c>
      <c r="C7" s="10">
        <v>2000</v>
      </c>
    </row>
    <row r="8" spans="2:3">
      <c r="B8" s="4" t="s">
        <v>20</v>
      </c>
      <c r="C8" s="10">
        <v>100000</v>
      </c>
    </row>
    <row r="10" spans="2:3">
      <c r="B10" s="11" t="s">
        <v>36</v>
      </c>
    </row>
  </sheetData>
  <mergeCells count="1"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37</v>
      </c>
      <c r="B1" t="s">
        <v>38</v>
      </c>
      <c r="C1" t="s">
        <v>39</v>
      </c>
      <c r="D1" t="s">
        <v>40</v>
      </c>
      <c r="E1" t="s">
        <v>41</v>
      </c>
    </row>
    <row r="2" spans="1:5">
      <c r="A2" t="s">
        <v>4</v>
      </c>
      <c r="B2">
        <v>250</v>
      </c>
      <c r="C2">
        <v>300</v>
      </c>
      <c r="D2">
        <v>100</v>
      </c>
      <c r="E2">
        <v>100</v>
      </c>
    </row>
    <row r="3" spans="1:5">
      <c r="A3" t="s">
        <v>42</v>
      </c>
      <c r="B3">
        <v>300</v>
      </c>
      <c r="C3">
        <v>400</v>
      </c>
      <c r="D3">
        <v>100</v>
      </c>
      <c r="E3">
        <v>50</v>
      </c>
    </row>
    <row r="4" spans="1:5">
      <c r="A4" t="s">
        <v>43</v>
      </c>
      <c r="B4">
        <v>50</v>
      </c>
      <c r="C4">
        <v>150</v>
      </c>
      <c r="D4">
        <v>100</v>
      </c>
      <c r="E4">
        <v>100</v>
      </c>
    </row>
    <row r="5" spans="1:5">
      <c r="A5" t="s">
        <v>44</v>
      </c>
      <c r="B5">
        <v>200</v>
      </c>
      <c r="C5">
        <v>300</v>
      </c>
      <c r="D5">
        <v>100</v>
      </c>
      <c r="E5">
        <v>200</v>
      </c>
    </row>
    <row r="6" spans="1:5">
      <c r="A6" t="s">
        <v>45</v>
      </c>
      <c r="B6">
        <v>50</v>
      </c>
      <c r="C6">
        <v>100</v>
      </c>
      <c r="D6">
        <v>100</v>
      </c>
      <c r="E6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Settings</vt:lpstr>
      <vt:lpstr>Database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2026-04-18T10:47:51Z</dcterms:created>
  <dcterms:modified xsi:type="dcterms:W3CDTF">2026-04-18T10:47:51Z</dcterms:modified>
</cp:coreProperties>
</file>