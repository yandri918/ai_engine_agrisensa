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dr\OneDrive\Desktop\agrisensa-api\"/>
    </mc:Choice>
  </mc:AlternateContent>
  <xr:revisionPtr revIDLastSave="0" documentId="13_ncr:1_{1A8077E1-4971-4153-91A4-BEF66CEA2D69}" xr6:coauthVersionLast="47" xr6:coauthVersionMax="47" xr10:uidLastSave="{00000000-0000-0000-0000-000000000000}"/>
  <bookViews>
    <workbookView xWindow="2652" yWindow="0" windowWidth="17196" windowHeight="12360" xr2:uid="{00000000-000D-0000-FFFF-FFFF00000000}"/>
  </bookViews>
  <sheets>
    <sheet name="Dashboard" sheetId="1" r:id="rId1"/>
    <sheet name="Datab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7" i="1" l="1"/>
  <c r="C18" i="1"/>
  <c r="C19" i="1"/>
  <c r="C16" i="1"/>
  <c r="C23" i="1" l="1"/>
</calcChain>
</file>

<file path=xl/sharedStrings.xml><?xml version="1.0" encoding="utf-8"?>
<sst xmlns="http://schemas.openxmlformats.org/spreadsheetml/2006/main" count="33" uniqueCount="28">
  <si>
    <t>🛡️ AGRISENSA MASTER NPK CALCULATOR - MEGA EDITION v1.0</t>
  </si>
  <si>
    <t>Platform: Agri-Innovation for Sovereign Nation</t>
  </si>
  <si>
    <t>Metode: Rekomendasi Nutrisi Berbasis AI &amp; Literatur FAO</t>
  </si>
  <si>
    <t>1. KONFIGURASI TANAMAN</t>
  </si>
  <si>
    <t>Pilih Jenis Tanaman:</t>
  </si>
  <si>
    <t>Cabai</t>
  </si>
  <si>
    <t>Fase Pertumbuhan:</t>
  </si>
  <si>
    <t>Volume Larutan (Liter):</t>
  </si>
  <si>
    <t>2. TARGET PARAMETER OPTIMAL</t>
  </si>
  <si>
    <t>Target EC (mS/cm):</t>
  </si>
  <si>
    <t>Target pH:</t>
  </si>
  <si>
    <t>3. KEBUTUHAN NUTRISI (GRAM)</t>
  </si>
  <si>
    <t>Calcium Nitrate</t>
  </si>
  <si>
    <t>Gram</t>
  </si>
  <si>
    <t>Potassium Nitrate</t>
  </si>
  <si>
    <t>MKP</t>
  </si>
  <si>
    <t>Magnesium Sulfate</t>
  </si>
  <si>
    <t>Trace Elements</t>
  </si>
  <si>
    <t>4. ESTIMASI BIAYA (IDR)</t>
  </si>
  <si>
    <t>Total Biaya Nutrisi:</t>
  </si>
  <si>
    <t>Tomat</t>
  </si>
  <si>
    <t>Melon (Premium)</t>
  </si>
  <si>
    <t>Bawang Merah</t>
  </si>
  <si>
    <t>Padi Sawah</t>
  </si>
  <si>
    <t>Selada</t>
  </si>
  <si>
    <t>Kangkung</t>
  </si>
  <si>
    <t>Pakcoy</t>
  </si>
  <si>
    <t>Berbunga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</si>
</sst>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 &quot;#,##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A3412"/>
      <name val="Calibri"/>
      <family val="2"/>
      <scheme val="minor"/>
    </font>
    <font>
      <b/>
      <sz val="11"/>
      <color rgb="FF16653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64E3B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0FDF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4" borderId="1" xfId="0" applyFont="1" applyFill="1" applyBorder="1"/>
    <xf numFmtId="0" fontId="4" fillId="5" borderId="2" xfId="0" applyFont="1" applyFill="1" applyBorder="1"/>
    <xf numFmtId="3" fontId="5" fillId="6" borderId="2" xfId="0" applyNumberFormat="1" applyFont="1" applyFill="1" applyBorder="1"/>
    <xf numFmtId="164" fontId="5" fillId="6" borderId="2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tabSelected="1" workbookViewId="0">
      <selection activeCell="C13" sqref="C13"/>
    </sheetView>
  </sheetViews>
  <sheetFormatPr defaultRowHeight="14.4" x14ac:dyDescent="0.3"/>
  <cols>
    <col min="1" max="1" width="5.6640625" customWidth="1"/>
    <col min="2" max="2" width="30.6640625" customWidth="1"/>
    <col min="3" max="3" width="35.6640625" customWidth="1"/>
    <col min="4" max="4" width="20.6640625" customWidth="1"/>
  </cols>
  <sheetData>
    <row r="2" spans="2:5" ht="18" x14ac:dyDescent="0.3">
      <c r="B2" s="6" t="s">
        <v>0</v>
      </c>
      <c r="C2" s="6"/>
      <c r="D2" s="6"/>
      <c r="E2" s="6"/>
    </row>
    <row r="3" spans="2:5" x14ac:dyDescent="0.3">
      <c r="B3" s="1" t="s">
        <v>1</v>
      </c>
    </row>
    <row r="4" spans="2:5" x14ac:dyDescent="0.3">
      <c r="B4" s="1" t="s">
        <v>2</v>
      </c>
    </row>
    <row r="6" spans="2:5" x14ac:dyDescent="0.3">
      <c r="B6" s="7" t="s">
        <v>3</v>
      </c>
      <c r="C6" s="7"/>
      <c r="D6" s="7"/>
    </row>
    <row r="7" spans="2:5" x14ac:dyDescent="0.3">
      <c r="B7" s="2" t="s">
        <v>4</v>
      </c>
      <c r="C7" s="3" t="s">
        <v>23</v>
      </c>
    </row>
    <row r="8" spans="2:5" x14ac:dyDescent="0.3">
      <c r="B8" s="2" t="s">
        <v>6</v>
      </c>
      <c r="C8" s="3" t="s">
        <v>27</v>
      </c>
    </row>
    <row r="9" spans="2:5" x14ac:dyDescent="0.3">
      <c r="B9" s="2" t="s">
        <v>7</v>
      </c>
      <c r="C9" s="3">
        <v>100</v>
      </c>
    </row>
    <row r="11" spans="2:5" x14ac:dyDescent="0.3">
      <c r="B11" s="7" t="s">
        <v>8</v>
      </c>
      <c r="C11" s="7"/>
      <c r="D11" s="7"/>
    </row>
    <row r="12" spans="2:5" x14ac:dyDescent="0.3">
      <c r="B12" s="2" t="s">
        <v>9</v>
      </c>
      <c r="C12" s="4">
        <v>3</v>
      </c>
    </row>
    <row r="13" spans="2:5" x14ac:dyDescent="0.3">
      <c r="B13" s="2" t="s">
        <v>10</v>
      </c>
      <c r="C13" s="4">
        <v>6</v>
      </c>
    </row>
    <row r="15" spans="2:5" x14ac:dyDescent="0.3">
      <c r="B15" s="7" t="s">
        <v>11</v>
      </c>
      <c r="C15" s="7"/>
      <c r="D15" s="7"/>
    </row>
    <row r="16" spans="2:5" x14ac:dyDescent="0.3">
      <c r="B16" s="2" t="s">
        <v>12</v>
      </c>
      <c r="C16" s="4">
        <f>ROUND(100 * (C12/1.5) * (C9/100), 1)</f>
        <v>200</v>
      </c>
      <c r="D16" t="s">
        <v>13</v>
      </c>
    </row>
    <row r="17" spans="2:4" x14ac:dyDescent="0.3">
      <c r="B17" s="2" t="s">
        <v>14</v>
      </c>
      <c r="C17" s="4">
        <f>ROUND(50 * (C12/1.5) * (C9/100), 1)</f>
        <v>100</v>
      </c>
      <c r="D17" t="s">
        <v>13</v>
      </c>
    </row>
    <row r="18" spans="2:4" x14ac:dyDescent="0.3">
      <c r="B18" s="2" t="s">
        <v>15</v>
      </c>
      <c r="C18" s="4">
        <f>ROUND(40 * (C12/1.5) * (C9/100), 1)</f>
        <v>80</v>
      </c>
      <c r="D18" t="s">
        <v>13</v>
      </c>
    </row>
    <row r="19" spans="2:4" x14ac:dyDescent="0.3">
      <c r="B19" s="2" t="s">
        <v>16</v>
      </c>
      <c r="C19" s="4">
        <f>ROUND(75 * (C12/1.5) * (C9/100), 1)</f>
        <v>150</v>
      </c>
      <c r="D19" t="s">
        <v>13</v>
      </c>
    </row>
    <row r="20" spans="2:4" x14ac:dyDescent="0.3">
      <c r="B20" s="2" t="s">
        <v>17</v>
      </c>
      <c r="C20" s="4">
        <f>ROUND(10 * (C12/1.5) * (C9/100), 1)</f>
        <v>20</v>
      </c>
      <c r="D20" t="s">
        <v>13</v>
      </c>
    </row>
    <row r="22" spans="2:4" x14ac:dyDescent="0.3">
      <c r="B22" s="7" t="s">
        <v>18</v>
      </c>
      <c r="C22" s="7"/>
      <c r="D22" s="7"/>
    </row>
    <row r="23" spans="2:4" x14ac:dyDescent="0.3">
      <c r="B23" s="2" t="s">
        <v>19</v>
      </c>
      <c r="C23" s="5">
        <f>SUM(C16:C20) * 25</f>
        <v>13750</v>
      </c>
    </row>
  </sheetData>
  <mergeCells count="5">
    <mergeCell ref="B2:E2"/>
    <mergeCell ref="B6:D6"/>
    <mergeCell ref="B11:D11"/>
    <mergeCell ref="B15:D15"/>
    <mergeCell ref="B22:D22"/>
  </mergeCells>
  <dataValidations count="2">
    <dataValidation type="list" allowBlank="1" showInputMessage="1" showErrorMessage="1" sqref="C7" xr:uid="{00000000-0002-0000-0000-000000000000}">
      <formula1>"Cabai,Tomat,Melon (Premium),Bawang Merah,Padi Sawah,Selada,Kangkung,Pakcoy"</formula1>
    </dataValidation>
    <dataValidation type="list" allowBlank="1" showInputMessage="1" showErrorMessage="1" sqref="C8" xr:uid="{00000000-0002-0000-0000-000001000000}">
      <formula1>"Seedling,Vegetatif,Berbunga,Berbuah/Panen"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9"/>
  <sheetViews>
    <sheetView workbookViewId="0"/>
  </sheetViews>
  <sheetFormatPr defaultRowHeight="14.4" x14ac:dyDescent="0.3"/>
  <sheetData>
    <row r="2" spans="1:5" x14ac:dyDescent="0.3">
      <c r="A2" t="s">
        <v>5</v>
      </c>
      <c r="B2">
        <v>1</v>
      </c>
      <c r="C2">
        <v>1.8</v>
      </c>
      <c r="D2">
        <v>2</v>
      </c>
      <c r="E2">
        <v>2.2999999999999998</v>
      </c>
    </row>
    <row r="3" spans="1:5" x14ac:dyDescent="0.3">
      <c r="A3" t="s">
        <v>20</v>
      </c>
      <c r="B3">
        <v>1</v>
      </c>
      <c r="C3">
        <v>1.8</v>
      </c>
      <c r="D3">
        <v>2.2000000000000002</v>
      </c>
      <c r="E3">
        <v>2.5</v>
      </c>
    </row>
    <row r="4" spans="1:5" x14ac:dyDescent="0.3">
      <c r="A4" t="s">
        <v>21</v>
      </c>
      <c r="B4">
        <v>1</v>
      </c>
      <c r="C4">
        <v>1.7</v>
      </c>
      <c r="D4">
        <v>2</v>
      </c>
      <c r="E4">
        <v>2.2000000000000002</v>
      </c>
    </row>
    <row r="5" spans="1:5" x14ac:dyDescent="0.3">
      <c r="A5" t="s">
        <v>22</v>
      </c>
      <c r="B5">
        <v>1.2</v>
      </c>
      <c r="C5">
        <v>1.8</v>
      </c>
      <c r="D5">
        <v>2</v>
      </c>
      <c r="E5">
        <v>2.2000000000000002</v>
      </c>
    </row>
    <row r="6" spans="1:5" x14ac:dyDescent="0.3">
      <c r="A6" t="s">
        <v>23</v>
      </c>
      <c r="B6">
        <v>1</v>
      </c>
      <c r="C6">
        <v>1.5</v>
      </c>
      <c r="D6">
        <v>1.8</v>
      </c>
      <c r="E6">
        <v>2</v>
      </c>
    </row>
    <row r="7" spans="1:5" x14ac:dyDescent="0.3">
      <c r="A7" t="s">
        <v>24</v>
      </c>
      <c r="B7">
        <v>0.8</v>
      </c>
      <c r="C7">
        <v>1.2</v>
      </c>
      <c r="D7">
        <v>1.2</v>
      </c>
      <c r="E7">
        <v>1</v>
      </c>
    </row>
    <row r="8" spans="1:5" x14ac:dyDescent="0.3">
      <c r="A8" t="s">
        <v>25</v>
      </c>
      <c r="B8">
        <v>0.8</v>
      </c>
      <c r="C8">
        <v>1.2</v>
      </c>
      <c r="D8">
        <v>1.2</v>
      </c>
      <c r="E8">
        <v>1</v>
      </c>
    </row>
    <row r="9" spans="1:5" x14ac:dyDescent="0.3">
      <c r="A9" t="s">
        <v>26</v>
      </c>
      <c r="B9">
        <v>0.8</v>
      </c>
      <c r="C9">
        <v>1.2</v>
      </c>
      <c r="D9">
        <v>1.2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Andriyanto</cp:lastModifiedBy>
  <dcterms:created xsi:type="dcterms:W3CDTF">2026-04-18T10:37:23Z</dcterms:created>
  <dcterms:modified xsi:type="dcterms:W3CDTF">2026-04-18T11:13:32Z</dcterms:modified>
</cp:coreProperties>
</file>